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inghsmi\Downloads\prototype4\output\"/>
    </mc:Choice>
  </mc:AlternateContent>
  <xr:revisionPtr revIDLastSave="0" documentId="13_ncr:1_{CDE045EF-AA49-493B-BFE9-9DAA6F266A85}" xr6:coauthVersionLast="47" xr6:coauthVersionMax="47" xr10:uidLastSave="{00000000-0000-0000-0000-000000000000}"/>
  <bookViews>
    <workbookView xWindow="1560" yWindow="1560" windowWidth="21765" windowHeight="15345" xr2:uid="{00000000-000D-0000-FFFF-FFFF00000000}"/>
  </bookViews>
  <sheets>
    <sheet name="Overview" sheetId="1" r:id="rId1"/>
    <sheet name="Partner_Detail" sheetId="2" r:id="rId2"/>
    <sheet name="Checks" sheetId="3" r:id="rId3"/>
  </sheets>
  <definedNames>
    <definedName name="_xlnm._FilterDatabase" localSheetId="2" hidden="1">Checks!$A$4:$G$11</definedName>
    <definedName name="_xlnm._FilterDatabase" localSheetId="0" hidden="1">Overview!$A$5:$H$12</definedName>
    <definedName name="_xlnm._FilterDatabase" localSheetId="1" hidden="1">Partner_Detail!$A$4:$H$64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" i="3" l="1"/>
  <c r="D11" i="3" s="1"/>
  <c r="G11" i="3" s="1"/>
  <c r="C10" i="3"/>
  <c r="D10" i="3" s="1"/>
  <c r="G10" i="3" s="1"/>
  <c r="C9" i="3"/>
  <c r="D9" i="3" s="1"/>
  <c r="G9" i="3" s="1"/>
  <c r="C8" i="3"/>
  <c r="D8" i="3" s="1"/>
  <c r="G8" i="3" s="1"/>
  <c r="C7" i="3"/>
  <c r="D7" i="3" s="1"/>
  <c r="G7" i="3" s="1"/>
  <c r="C6" i="3"/>
  <c r="D6" i="3" s="1"/>
  <c r="G6" i="3" s="1"/>
  <c r="C5" i="3"/>
  <c r="G13" i="1"/>
  <c r="F13" i="1"/>
  <c r="E13" i="1"/>
  <c r="D13" i="1"/>
  <c r="C13" i="1"/>
  <c r="B13" i="1"/>
  <c r="H12" i="1"/>
  <c r="H11" i="1"/>
  <c r="H10" i="1"/>
  <c r="H9" i="1"/>
  <c r="H8" i="1"/>
  <c r="H7" i="1"/>
  <c r="H6" i="1"/>
  <c r="H13" i="1" s="1"/>
  <c r="C13" i="3" l="1"/>
  <c r="D13" i="3" s="1"/>
  <c r="G13" i="3" s="1"/>
  <c r="D5" i="3"/>
  <c r="G5" i="3" s="1"/>
</calcChain>
</file>

<file path=xl/sharedStrings.xml><?xml version="1.0" encoding="utf-8"?>
<sst xmlns="http://schemas.openxmlformats.org/spreadsheetml/2006/main" count="353" uniqueCount="97">
  <si>
    <t>Opening: The Granular Financial Breakdown</t>
  </si>
  <si>
    <t>Scaled personnel costs and partner budgets prepared for Erasmus+ internal planning and portal-ready audit checks.</t>
  </si>
  <si>
    <t>Partner</t>
  </si>
  <si>
    <t>Personnel (€)</t>
  </si>
  <si>
    <t>Subcontracting (€)</t>
  </si>
  <si>
    <t>Travel (€)</t>
  </si>
  <si>
    <t>Equipment (€)</t>
  </si>
  <si>
    <t>Other Goods (€)</t>
  </si>
  <si>
    <t>Indirect (€)</t>
  </si>
  <si>
    <t>Total Budget (€)</t>
  </si>
  <si>
    <t>UNIVERSITY OF MALTA (UM)</t>
  </si>
  <si>
    <t>HUMBOLDT-UNIVERSITÄT ZU BERLIN (UBER)</t>
  </si>
  <si>
    <t>ELLINOGERMANIKI AGOGI (EA)</t>
  </si>
  <si>
    <t>MALTA FURTHER AND HIGHER EDUCATION AUTHORITY (MFHEA)</t>
  </si>
  <si>
    <t>CHAMBER OF COMMERCE, INDUSTRY AND SERVICES OF TERRASSA (CCIT)</t>
  </si>
  <si>
    <t>T2 S.R.L.</t>
  </si>
  <si>
    <t>LITHUANIAN UNIVERSITY OF HEALTH SCIENCES (LSMU)</t>
  </si>
  <si>
    <t>Consortium Total</t>
  </si>
  <si>
    <t>Partner Personnel and Other Eligible Costs</t>
  </si>
  <si>
    <t>Personnel rows are followed by other-cost rows; the Checks sheet validates all partner totals.</t>
  </si>
  <si>
    <t>Work Package</t>
  </si>
  <si>
    <t>Entry Type</t>
  </si>
  <si>
    <t>Item</t>
  </si>
  <si>
    <t>Role / Description</t>
  </si>
  <si>
    <t>Monthly Rate (€)</t>
  </si>
  <si>
    <t>Adjusted PMs</t>
  </si>
  <si>
    <t>Cost (€)</t>
  </si>
  <si>
    <t>Coordinator (WP1)</t>
  </si>
  <si>
    <t>Personnel</t>
  </si>
  <si>
    <t>Prof. Matthew Montebello</t>
  </si>
  <si>
    <t>Project Coordinator</t>
  </si>
  <si>
    <t>Dr. Vanessa Camilleri</t>
  </si>
  <si>
    <t>Senior Researcher</t>
  </si>
  <si>
    <t>Research Support Officer</t>
  </si>
  <si>
    <t>RSO II - Project Manager</t>
  </si>
  <si>
    <t>Other Cost</t>
  </si>
  <si>
    <t>Subcontracting</t>
  </si>
  <si>
    <t>Travel</t>
  </si>
  <si>
    <t>Equipment</t>
  </si>
  <si>
    <t>Other Goods</t>
  </si>
  <si>
    <t>Indirect</t>
  </si>
  <si>
    <t>WP3/WP4</t>
  </si>
  <si>
    <t>Prof. Dr. Rüdiger Tiemann</t>
  </si>
  <si>
    <t>Scientific Director / Pedagogical Lead</t>
  </si>
  <si>
    <t>Smita Singh</t>
  </si>
  <si>
    <t>Researcher / Scientific Co-worker, TV-L E13 scaled</t>
  </si>
  <si>
    <t>WP4</t>
  </si>
  <si>
    <t>Dr. Sofoklis Sotiriou</t>
  </si>
  <si>
    <t>Head of R&amp;D</t>
  </si>
  <si>
    <t>Nikos Zygouritsas</t>
  </si>
  <si>
    <t>Project Manager / Living Lab Coordinator</t>
  </si>
  <si>
    <t>Dimitra Dimitrakopoulou</t>
  </si>
  <si>
    <t>ICT Teacher / Pedagogical Integration</t>
  </si>
  <si>
    <t>Dimitris Koulentianos</t>
  </si>
  <si>
    <t>Researcher / AI Data Evaluation</t>
  </si>
  <si>
    <t>WP2</t>
  </si>
  <si>
    <t>Dr. Jana Kazarjan</t>
  </si>
  <si>
    <t>Senior Researcher / Policy Senior Manager</t>
  </si>
  <si>
    <t>Jessica Sammut</t>
  </si>
  <si>
    <t>Researcher / Policy Officer</t>
  </si>
  <si>
    <t>Ryan Saliba</t>
  </si>
  <si>
    <t>Kamen Gechev</t>
  </si>
  <si>
    <t>WP5</t>
  </si>
  <si>
    <t>Josep Prats</t>
  </si>
  <si>
    <t>Managing Director / Senior Expert</t>
  </si>
  <si>
    <t>Julia Puerta</t>
  </si>
  <si>
    <t>Project Manager / WP5 Coordinator</t>
  </si>
  <si>
    <t>Alba Cabeza</t>
  </si>
  <si>
    <t>Head of Digital Transformation</t>
  </si>
  <si>
    <t>Sonia Perez</t>
  </si>
  <si>
    <t>Training Service Manager</t>
  </si>
  <si>
    <t>WP3</t>
  </si>
  <si>
    <t>Valentin Paraschiva</t>
  </si>
  <si>
    <t>Project Manager</t>
  </si>
  <si>
    <t>Ion Ungureanu</t>
  </si>
  <si>
    <t>CTO / AI Architect</t>
  </si>
  <si>
    <t>George Dascalu</t>
  </si>
  <si>
    <t>Team Leader AI Dev Team</t>
  </si>
  <si>
    <t>Daniela Cojoaca</t>
  </si>
  <si>
    <t>AI Developer</t>
  </si>
  <si>
    <t>WP2/WP4</t>
  </si>
  <si>
    <t>Prof. Dr. Gvidas Urbonas</t>
  </si>
  <si>
    <t>Lead &amp; Senior Researcher / Head of Bioethics</t>
  </si>
  <si>
    <t>Prof. Dr. Kęstutis Petrikonis</t>
  </si>
  <si>
    <t>Dr. Renata Kudukytė-Gasperė</t>
  </si>
  <si>
    <t>Researcher / Living Labs Coordinator</t>
  </si>
  <si>
    <t>Assoc. Prof. Dr. Vita Špečkauskienė</t>
  </si>
  <si>
    <t>Researcher / AI Data Analytics</t>
  </si>
  <si>
    <t>Audit Controls</t>
  </si>
  <si>
    <t>All control variances should resolve to zero after formula recalculation.</t>
  </si>
  <si>
    <t>Stated Budget (€)</t>
  </si>
  <si>
    <t>Calculated Detail Total (€)</t>
  </si>
  <si>
    <t>Variance (€)</t>
  </si>
  <si>
    <t>Check Type</t>
  </si>
  <si>
    <t>Threshold (€)</t>
  </si>
  <si>
    <t>Status</t>
  </si>
  <si>
    <t>Consortium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</si>
</sst>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#,##0.00;[Red]\(\€#,##0.00\);\-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4F7FB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/>
    <xf numFmtId="164" fontId="2" fillId="0" borderId="1" xfId="0" applyNumberFormat="1" applyFont="1" applyBorder="1"/>
    <xf numFmtId="0" fontId="1" fillId="2" borderId="1" xfId="0" applyFont="1" applyFill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horizontal="left" vertical="center" wrapText="1"/>
    </xf>
    <xf numFmtId="2" fontId="4" fillId="0" borderId="1" xfId="0" applyNumberFormat="1" applyFont="1" applyBorder="1"/>
    <xf numFmtId="0" fontId="2" fillId="0" borderId="1" xfId="0" applyFont="1" applyBorder="1"/>
    <xf numFmtId="164" fontId="1" fillId="2" borderId="1" xfId="0" applyNumberFormat="1" applyFont="1" applyFill="1" applyBorder="1"/>
    <xf numFmtId="0" fontId="1" fillId="2" borderId="1" xfId="0" applyFont="1" applyFill="1" applyBorder="1"/>
    <xf numFmtId="0" fontId="2" fillId="3" borderId="1" xfId="0" applyFont="1" applyFill="1" applyBorder="1" applyAlignment="1">
      <alignment horizontal="left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pane ySplit="5" topLeftCell="A6" activePane="bottomLeft" state="frozen"/>
      <selection pane="bottomLeft" sqref="A1:H1"/>
    </sheetView>
  </sheetViews>
  <sheetFormatPr defaultRowHeight="15" x14ac:dyDescent="0.25"/>
  <cols>
    <col min="1" max="1" width="46" customWidth="1"/>
    <col min="2" max="2" width="16" customWidth="1"/>
    <col min="3" max="3" width="18" customWidth="1"/>
    <col min="4" max="5" width="14" customWidth="1"/>
    <col min="6" max="6" width="16" customWidth="1"/>
    <col min="7" max="7" width="14" customWidth="1"/>
    <col min="8" max="8" width="16" customWidth="1"/>
  </cols>
  <sheetData>
    <row r="1" spans="1:8" x14ac:dyDescent="0.25">
      <c r="A1" s="14" t="s">
        <v>0</v>
      </c>
      <c r="B1" s="13"/>
      <c r="C1" s="13"/>
      <c r="D1" s="13"/>
      <c r="E1" s="13"/>
      <c r="F1" s="13"/>
      <c r="G1" s="13"/>
      <c r="H1" s="13"/>
    </row>
    <row r="2" spans="1:8" x14ac:dyDescent="0.25">
      <c r="A2" s="12" t="s">
        <v>1</v>
      </c>
      <c r="B2" s="13"/>
      <c r="C2" s="13"/>
      <c r="D2" s="13"/>
      <c r="E2" s="13"/>
      <c r="F2" s="13"/>
      <c r="G2" s="13"/>
      <c r="H2" s="13"/>
    </row>
    <row r="5" spans="1:8" x14ac:dyDescent="0.25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</row>
    <row r="6" spans="1:8" x14ac:dyDescent="0.25">
      <c r="A6" s="3" t="s">
        <v>10</v>
      </c>
      <c r="B6" s="4">
        <v>178607.48</v>
      </c>
      <c r="C6" s="4">
        <v>15000</v>
      </c>
      <c r="D6" s="4">
        <v>10000</v>
      </c>
      <c r="E6" s="4">
        <v>2000</v>
      </c>
      <c r="F6" s="4">
        <v>15000</v>
      </c>
      <c r="G6" s="4">
        <v>14392.52</v>
      </c>
      <c r="H6" s="5">
        <f t="shared" ref="H6:H12" si="0">SUM(B6:G6)</f>
        <v>235000</v>
      </c>
    </row>
    <row r="7" spans="1:8" x14ac:dyDescent="0.25">
      <c r="A7" s="3" t="s">
        <v>11</v>
      </c>
      <c r="B7" s="4">
        <v>172177.57</v>
      </c>
      <c r="C7" s="4">
        <v>0</v>
      </c>
      <c r="D7" s="4">
        <v>6000</v>
      </c>
      <c r="E7" s="4">
        <v>1000</v>
      </c>
      <c r="F7" s="4">
        <v>4000</v>
      </c>
      <c r="G7" s="4">
        <v>12822.43</v>
      </c>
      <c r="H7" s="5">
        <f t="shared" si="0"/>
        <v>196000</v>
      </c>
    </row>
    <row r="8" spans="1:8" x14ac:dyDescent="0.25">
      <c r="A8" s="3" t="s">
        <v>12</v>
      </c>
      <c r="B8" s="4">
        <v>128859.81</v>
      </c>
      <c r="C8" s="4">
        <v>0</v>
      </c>
      <c r="D8" s="4">
        <v>8000</v>
      </c>
      <c r="E8" s="4">
        <v>3000</v>
      </c>
      <c r="F8" s="4">
        <v>5000</v>
      </c>
      <c r="G8" s="4">
        <v>10140.19</v>
      </c>
      <c r="H8" s="5">
        <f t="shared" si="0"/>
        <v>155000</v>
      </c>
    </row>
    <row r="9" spans="1:8" ht="30" x14ac:dyDescent="0.25">
      <c r="A9" s="3" t="s">
        <v>13</v>
      </c>
      <c r="B9" s="4">
        <v>120102.81</v>
      </c>
      <c r="C9" s="4">
        <v>0</v>
      </c>
      <c r="D9" s="4">
        <v>7000</v>
      </c>
      <c r="E9" s="4">
        <v>0</v>
      </c>
      <c r="F9" s="4">
        <v>0</v>
      </c>
      <c r="G9" s="4">
        <v>8897.19</v>
      </c>
      <c r="H9" s="5">
        <f t="shared" si="0"/>
        <v>136000</v>
      </c>
    </row>
    <row r="10" spans="1:8" ht="30" x14ac:dyDescent="0.25">
      <c r="A10" s="3" t="s">
        <v>14</v>
      </c>
      <c r="B10" s="4">
        <v>150224.29999999999</v>
      </c>
      <c r="C10" s="4">
        <v>0</v>
      </c>
      <c r="D10" s="4">
        <v>8000</v>
      </c>
      <c r="E10" s="4">
        <v>0</v>
      </c>
      <c r="F10" s="4">
        <v>10000</v>
      </c>
      <c r="G10" s="4">
        <v>11775.7</v>
      </c>
      <c r="H10" s="5">
        <f t="shared" si="0"/>
        <v>180000</v>
      </c>
    </row>
    <row r="11" spans="1:8" x14ac:dyDescent="0.25">
      <c r="A11" s="3" t="s">
        <v>15</v>
      </c>
      <c r="B11" s="4">
        <v>142532.71</v>
      </c>
      <c r="C11" s="4">
        <v>0</v>
      </c>
      <c r="D11" s="4">
        <v>7000</v>
      </c>
      <c r="E11" s="4">
        <v>0</v>
      </c>
      <c r="F11" s="4">
        <v>0</v>
      </c>
      <c r="G11" s="4">
        <v>10467.290000000001</v>
      </c>
      <c r="H11" s="5">
        <f t="shared" si="0"/>
        <v>160000</v>
      </c>
    </row>
    <row r="12" spans="1:8" ht="30" x14ac:dyDescent="0.25">
      <c r="A12" s="3" t="s">
        <v>16</v>
      </c>
      <c r="B12" s="4">
        <v>167700.93</v>
      </c>
      <c r="C12" s="4">
        <v>0</v>
      </c>
      <c r="D12" s="4">
        <v>6000</v>
      </c>
      <c r="E12" s="4">
        <v>0</v>
      </c>
      <c r="F12" s="4">
        <v>2000</v>
      </c>
      <c r="G12" s="4">
        <v>12299.07</v>
      </c>
      <c r="H12" s="5">
        <f t="shared" si="0"/>
        <v>188000</v>
      </c>
    </row>
    <row r="13" spans="1:8" x14ac:dyDescent="0.25">
      <c r="A13" s="6" t="s">
        <v>17</v>
      </c>
      <c r="B13" s="7">
        <f t="shared" ref="B13:H13" si="1">SUM(B6:B12)</f>
        <v>1060205.6099999999</v>
      </c>
      <c r="C13" s="7">
        <f t="shared" si="1"/>
        <v>15000</v>
      </c>
      <c r="D13" s="7">
        <f t="shared" si="1"/>
        <v>52000</v>
      </c>
      <c r="E13" s="7">
        <f t="shared" si="1"/>
        <v>6000</v>
      </c>
      <c r="F13" s="7">
        <f t="shared" si="1"/>
        <v>36000</v>
      </c>
      <c r="G13" s="7">
        <f t="shared" si="1"/>
        <v>80794.390000000014</v>
      </c>
      <c r="H13" s="7">
        <f t="shared" si="1"/>
        <v>1250000</v>
      </c>
    </row>
  </sheetData>
  <autoFilter ref="A5:H12" xr:uid="{00000000-0009-0000-0000-000000000000}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46" customWidth="1"/>
    <col min="2" max="2" width="18" customWidth="1"/>
    <col min="3" max="3" width="14" customWidth="1"/>
    <col min="4" max="4" width="28" customWidth="1"/>
    <col min="5" max="5" width="38" customWidth="1"/>
    <col min="6" max="6" width="16" customWidth="1"/>
    <col min="7" max="7" width="14" customWidth="1"/>
    <col min="8" max="8" width="16" customWidth="1"/>
  </cols>
  <sheetData>
    <row r="1" spans="1:8" x14ac:dyDescent="0.25">
      <c r="A1" s="14" t="s">
        <v>18</v>
      </c>
      <c r="B1" s="13"/>
      <c r="C1" s="13"/>
      <c r="D1" s="13"/>
      <c r="E1" s="13"/>
      <c r="F1" s="13"/>
      <c r="G1" s="13"/>
      <c r="H1" s="13"/>
    </row>
    <row r="2" spans="1:8" x14ac:dyDescent="0.25">
      <c r="A2" s="12" t="s">
        <v>19</v>
      </c>
      <c r="B2" s="13"/>
      <c r="C2" s="13"/>
      <c r="D2" s="13"/>
      <c r="E2" s="13"/>
      <c r="F2" s="13"/>
      <c r="G2" s="13"/>
      <c r="H2" s="13"/>
    </row>
    <row r="4" spans="1:8" x14ac:dyDescent="0.25">
      <c r="A4" s="2" t="s">
        <v>2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</row>
    <row r="5" spans="1:8" x14ac:dyDescent="0.25">
      <c r="A5" s="3" t="s">
        <v>10</v>
      </c>
      <c r="B5" s="3" t="s">
        <v>27</v>
      </c>
      <c r="C5" s="3" t="s">
        <v>28</v>
      </c>
      <c r="D5" s="3" t="s">
        <v>29</v>
      </c>
      <c r="E5" s="3" t="s">
        <v>30</v>
      </c>
      <c r="F5" s="4">
        <v>7232.93</v>
      </c>
      <c r="G5" s="8">
        <v>10.3</v>
      </c>
      <c r="H5" s="4">
        <v>74499.179999999993</v>
      </c>
    </row>
    <row r="6" spans="1:8" x14ac:dyDescent="0.25">
      <c r="A6" s="3" t="s">
        <v>10</v>
      </c>
      <c r="B6" s="3" t="s">
        <v>27</v>
      </c>
      <c r="C6" s="3" t="s">
        <v>28</v>
      </c>
      <c r="D6" s="3" t="s">
        <v>31</v>
      </c>
      <c r="E6" s="3" t="s">
        <v>32</v>
      </c>
      <c r="F6" s="4">
        <v>5112.5200000000004</v>
      </c>
      <c r="G6" s="8">
        <v>12.87</v>
      </c>
      <c r="H6" s="4">
        <v>65808.350000000006</v>
      </c>
    </row>
    <row r="7" spans="1:8" x14ac:dyDescent="0.25">
      <c r="A7" s="3" t="s">
        <v>10</v>
      </c>
      <c r="B7" s="3" t="s">
        <v>27</v>
      </c>
      <c r="C7" s="3" t="s">
        <v>28</v>
      </c>
      <c r="D7" s="3" t="s">
        <v>33</v>
      </c>
      <c r="E7" s="3" t="s">
        <v>34</v>
      </c>
      <c r="F7" s="4">
        <v>2976.6</v>
      </c>
      <c r="G7" s="8">
        <v>12.86</v>
      </c>
      <c r="H7" s="4">
        <v>38299.949999999997</v>
      </c>
    </row>
    <row r="8" spans="1:8" x14ac:dyDescent="0.25">
      <c r="A8" s="3" t="s">
        <v>10</v>
      </c>
      <c r="B8" s="3" t="s">
        <v>27</v>
      </c>
      <c r="C8" s="3" t="s">
        <v>35</v>
      </c>
      <c r="D8" s="3" t="s">
        <v>36</v>
      </c>
      <c r="E8" s="3" t="s">
        <v>36</v>
      </c>
      <c r="F8" s="1"/>
      <c r="G8" s="1"/>
      <c r="H8" s="4">
        <v>15000</v>
      </c>
    </row>
    <row r="9" spans="1:8" x14ac:dyDescent="0.25">
      <c r="A9" s="3" t="s">
        <v>10</v>
      </c>
      <c r="B9" s="3" t="s">
        <v>27</v>
      </c>
      <c r="C9" s="3" t="s">
        <v>35</v>
      </c>
      <c r="D9" s="3" t="s">
        <v>37</v>
      </c>
      <c r="E9" s="3" t="s">
        <v>37</v>
      </c>
      <c r="F9" s="1"/>
      <c r="G9" s="1"/>
      <c r="H9" s="4">
        <v>10000</v>
      </c>
    </row>
    <row r="10" spans="1:8" x14ac:dyDescent="0.25">
      <c r="A10" s="3" t="s">
        <v>10</v>
      </c>
      <c r="B10" s="3" t="s">
        <v>27</v>
      </c>
      <c r="C10" s="3" t="s">
        <v>35</v>
      </c>
      <c r="D10" s="3" t="s">
        <v>38</v>
      </c>
      <c r="E10" s="3" t="s">
        <v>38</v>
      </c>
      <c r="F10" s="1"/>
      <c r="G10" s="1"/>
      <c r="H10" s="4">
        <v>2000</v>
      </c>
    </row>
    <row r="11" spans="1:8" x14ac:dyDescent="0.25">
      <c r="A11" s="3" t="s">
        <v>10</v>
      </c>
      <c r="B11" s="3" t="s">
        <v>27</v>
      </c>
      <c r="C11" s="3" t="s">
        <v>35</v>
      </c>
      <c r="D11" s="3" t="s">
        <v>39</v>
      </c>
      <c r="E11" s="3" t="s">
        <v>39</v>
      </c>
      <c r="F11" s="1"/>
      <c r="G11" s="1"/>
      <c r="H11" s="4">
        <v>15000</v>
      </c>
    </row>
    <row r="12" spans="1:8" x14ac:dyDescent="0.25">
      <c r="A12" s="3" t="s">
        <v>10</v>
      </c>
      <c r="B12" s="3" t="s">
        <v>27</v>
      </c>
      <c r="C12" s="3" t="s">
        <v>35</v>
      </c>
      <c r="D12" s="3" t="s">
        <v>40</v>
      </c>
      <c r="E12" s="3" t="s">
        <v>40</v>
      </c>
      <c r="F12" s="1"/>
      <c r="G12" s="1"/>
      <c r="H12" s="4">
        <v>14392.52</v>
      </c>
    </row>
    <row r="13" spans="1:8" x14ac:dyDescent="0.25">
      <c r="A13" s="3" t="s">
        <v>11</v>
      </c>
      <c r="B13" s="3" t="s">
        <v>41</v>
      </c>
      <c r="C13" s="3" t="s">
        <v>28</v>
      </c>
      <c r="D13" s="3" t="s">
        <v>42</v>
      </c>
      <c r="E13" s="3" t="s">
        <v>43</v>
      </c>
      <c r="F13" s="4">
        <v>8800</v>
      </c>
      <c r="G13" s="8">
        <v>5</v>
      </c>
      <c r="H13" s="4">
        <v>44000</v>
      </c>
    </row>
    <row r="14" spans="1:8" ht="30" x14ac:dyDescent="0.25">
      <c r="A14" s="3" t="s">
        <v>11</v>
      </c>
      <c r="B14" s="3" t="s">
        <v>41</v>
      </c>
      <c r="C14" s="3" t="s">
        <v>28</v>
      </c>
      <c r="D14" s="3" t="s">
        <v>44</v>
      </c>
      <c r="E14" s="3" t="s">
        <v>45</v>
      </c>
      <c r="F14" s="4">
        <v>7495</v>
      </c>
      <c r="G14" s="8">
        <v>17.100000000000001</v>
      </c>
      <c r="H14" s="4">
        <v>128177.57</v>
      </c>
    </row>
    <row r="15" spans="1:8" x14ac:dyDescent="0.25">
      <c r="A15" s="3" t="s">
        <v>11</v>
      </c>
      <c r="B15" s="3" t="s">
        <v>41</v>
      </c>
      <c r="C15" s="3" t="s">
        <v>35</v>
      </c>
      <c r="D15" s="3" t="s">
        <v>36</v>
      </c>
      <c r="E15" s="3" t="s">
        <v>36</v>
      </c>
      <c r="F15" s="1"/>
      <c r="G15" s="1"/>
      <c r="H15" s="4">
        <v>0</v>
      </c>
    </row>
    <row r="16" spans="1:8" x14ac:dyDescent="0.25">
      <c r="A16" s="3" t="s">
        <v>11</v>
      </c>
      <c r="B16" s="3" t="s">
        <v>41</v>
      </c>
      <c r="C16" s="3" t="s">
        <v>35</v>
      </c>
      <c r="D16" s="3" t="s">
        <v>37</v>
      </c>
      <c r="E16" s="3" t="s">
        <v>37</v>
      </c>
      <c r="F16" s="1"/>
      <c r="G16" s="1"/>
      <c r="H16" s="4">
        <v>6000</v>
      </c>
    </row>
    <row r="17" spans="1:8" x14ac:dyDescent="0.25">
      <c r="A17" s="3" t="s">
        <v>11</v>
      </c>
      <c r="B17" s="3" t="s">
        <v>41</v>
      </c>
      <c r="C17" s="3" t="s">
        <v>35</v>
      </c>
      <c r="D17" s="3" t="s">
        <v>38</v>
      </c>
      <c r="E17" s="3" t="s">
        <v>38</v>
      </c>
      <c r="F17" s="1"/>
      <c r="G17" s="1"/>
      <c r="H17" s="4">
        <v>1000</v>
      </c>
    </row>
    <row r="18" spans="1:8" x14ac:dyDescent="0.25">
      <c r="A18" s="3" t="s">
        <v>11</v>
      </c>
      <c r="B18" s="3" t="s">
        <v>41</v>
      </c>
      <c r="C18" s="3" t="s">
        <v>35</v>
      </c>
      <c r="D18" s="3" t="s">
        <v>39</v>
      </c>
      <c r="E18" s="3" t="s">
        <v>39</v>
      </c>
      <c r="F18" s="1"/>
      <c r="G18" s="1"/>
      <c r="H18" s="4">
        <v>4000</v>
      </c>
    </row>
    <row r="19" spans="1:8" x14ac:dyDescent="0.25">
      <c r="A19" s="3" t="s">
        <v>11</v>
      </c>
      <c r="B19" s="3" t="s">
        <v>41</v>
      </c>
      <c r="C19" s="3" t="s">
        <v>35</v>
      </c>
      <c r="D19" s="3" t="s">
        <v>40</v>
      </c>
      <c r="E19" s="3" t="s">
        <v>40</v>
      </c>
      <c r="F19" s="1"/>
      <c r="G19" s="1"/>
      <c r="H19" s="4">
        <v>12822.43</v>
      </c>
    </row>
    <row r="20" spans="1:8" x14ac:dyDescent="0.25">
      <c r="A20" s="3" t="s">
        <v>12</v>
      </c>
      <c r="B20" s="3" t="s">
        <v>46</v>
      </c>
      <c r="C20" s="3" t="s">
        <v>28</v>
      </c>
      <c r="D20" s="3" t="s">
        <v>47</v>
      </c>
      <c r="E20" s="3" t="s">
        <v>48</v>
      </c>
      <c r="F20" s="4">
        <v>5000</v>
      </c>
      <c r="G20" s="8">
        <v>2.8</v>
      </c>
      <c r="H20" s="4">
        <v>14000</v>
      </c>
    </row>
    <row r="21" spans="1:8" x14ac:dyDescent="0.25">
      <c r="A21" s="3" t="s">
        <v>12</v>
      </c>
      <c r="B21" s="3" t="s">
        <v>46</v>
      </c>
      <c r="C21" s="3" t="s">
        <v>28</v>
      </c>
      <c r="D21" s="3" t="s">
        <v>49</v>
      </c>
      <c r="E21" s="3" t="s">
        <v>50</v>
      </c>
      <c r="F21" s="4">
        <v>5000</v>
      </c>
      <c r="G21" s="8">
        <v>8.6</v>
      </c>
      <c r="H21" s="4">
        <v>43000</v>
      </c>
    </row>
    <row r="22" spans="1:8" x14ac:dyDescent="0.25">
      <c r="A22" s="3" t="s">
        <v>12</v>
      </c>
      <c r="B22" s="3" t="s">
        <v>46</v>
      </c>
      <c r="C22" s="3" t="s">
        <v>28</v>
      </c>
      <c r="D22" s="3" t="s">
        <v>51</v>
      </c>
      <c r="E22" s="3" t="s">
        <v>52</v>
      </c>
      <c r="F22" s="4">
        <v>5000</v>
      </c>
      <c r="G22" s="8">
        <v>7.2</v>
      </c>
      <c r="H22" s="4">
        <v>36000</v>
      </c>
    </row>
    <row r="23" spans="1:8" x14ac:dyDescent="0.25">
      <c r="A23" s="3" t="s">
        <v>12</v>
      </c>
      <c r="B23" s="3" t="s">
        <v>46</v>
      </c>
      <c r="C23" s="3" t="s">
        <v>28</v>
      </c>
      <c r="D23" s="3" t="s">
        <v>53</v>
      </c>
      <c r="E23" s="3" t="s">
        <v>54</v>
      </c>
      <c r="F23" s="4">
        <v>5000</v>
      </c>
      <c r="G23" s="8">
        <v>7.17</v>
      </c>
      <c r="H23" s="4">
        <v>35859.81</v>
      </c>
    </row>
    <row r="24" spans="1:8" x14ac:dyDescent="0.25">
      <c r="A24" s="3" t="s">
        <v>12</v>
      </c>
      <c r="B24" s="3" t="s">
        <v>46</v>
      </c>
      <c r="C24" s="3" t="s">
        <v>35</v>
      </c>
      <c r="D24" s="3" t="s">
        <v>36</v>
      </c>
      <c r="E24" s="3" t="s">
        <v>36</v>
      </c>
      <c r="F24" s="1"/>
      <c r="G24" s="1"/>
      <c r="H24" s="4">
        <v>0</v>
      </c>
    </row>
    <row r="25" spans="1:8" x14ac:dyDescent="0.25">
      <c r="A25" s="3" t="s">
        <v>12</v>
      </c>
      <c r="B25" s="3" t="s">
        <v>46</v>
      </c>
      <c r="C25" s="3" t="s">
        <v>35</v>
      </c>
      <c r="D25" s="3" t="s">
        <v>37</v>
      </c>
      <c r="E25" s="3" t="s">
        <v>37</v>
      </c>
      <c r="F25" s="1"/>
      <c r="G25" s="1"/>
      <c r="H25" s="4">
        <v>8000</v>
      </c>
    </row>
    <row r="26" spans="1:8" x14ac:dyDescent="0.25">
      <c r="A26" s="3" t="s">
        <v>12</v>
      </c>
      <c r="B26" s="3" t="s">
        <v>46</v>
      </c>
      <c r="C26" s="3" t="s">
        <v>35</v>
      </c>
      <c r="D26" s="3" t="s">
        <v>38</v>
      </c>
      <c r="E26" s="3" t="s">
        <v>38</v>
      </c>
      <c r="F26" s="1"/>
      <c r="G26" s="1"/>
      <c r="H26" s="4">
        <v>3000</v>
      </c>
    </row>
    <row r="27" spans="1:8" x14ac:dyDescent="0.25">
      <c r="A27" s="3" t="s">
        <v>12</v>
      </c>
      <c r="B27" s="3" t="s">
        <v>46</v>
      </c>
      <c r="C27" s="3" t="s">
        <v>35</v>
      </c>
      <c r="D27" s="3" t="s">
        <v>39</v>
      </c>
      <c r="E27" s="3" t="s">
        <v>39</v>
      </c>
      <c r="F27" s="1"/>
      <c r="G27" s="1"/>
      <c r="H27" s="4">
        <v>5000</v>
      </c>
    </row>
    <row r="28" spans="1:8" x14ac:dyDescent="0.25">
      <c r="A28" s="3" t="s">
        <v>12</v>
      </c>
      <c r="B28" s="3" t="s">
        <v>46</v>
      </c>
      <c r="C28" s="3" t="s">
        <v>35</v>
      </c>
      <c r="D28" s="3" t="s">
        <v>40</v>
      </c>
      <c r="E28" s="3" t="s">
        <v>40</v>
      </c>
      <c r="F28" s="1"/>
      <c r="G28" s="1"/>
      <c r="H28" s="4">
        <v>10140.19</v>
      </c>
    </row>
    <row r="29" spans="1:8" ht="30" x14ac:dyDescent="0.25">
      <c r="A29" s="3" t="s">
        <v>13</v>
      </c>
      <c r="B29" s="3" t="s">
        <v>55</v>
      </c>
      <c r="C29" s="3" t="s">
        <v>28</v>
      </c>
      <c r="D29" s="3" t="s">
        <v>56</v>
      </c>
      <c r="E29" s="3" t="s">
        <v>57</v>
      </c>
      <c r="F29" s="4">
        <v>3136</v>
      </c>
      <c r="G29" s="8">
        <v>10.7</v>
      </c>
      <c r="H29" s="4">
        <v>33555.199999999997</v>
      </c>
    </row>
    <row r="30" spans="1:8" ht="30" x14ac:dyDescent="0.25">
      <c r="A30" s="3" t="s">
        <v>13</v>
      </c>
      <c r="B30" s="3" t="s">
        <v>55</v>
      </c>
      <c r="C30" s="3" t="s">
        <v>28</v>
      </c>
      <c r="D30" s="3" t="s">
        <v>58</v>
      </c>
      <c r="E30" s="3" t="s">
        <v>59</v>
      </c>
      <c r="F30" s="4">
        <v>3136</v>
      </c>
      <c r="G30" s="8">
        <v>9.1999999999999993</v>
      </c>
      <c r="H30" s="4">
        <v>28851.200000000001</v>
      </c>
    </row>
    <row r="31" spans="1:8" ht="30" x14ac:dyDescent="0.25">
      <c r="A31" s="3" t="s">
        <v>13</v>
      </c>
      <c r="B31" s="3" t="s">
        <v>55</v>
      </c>
      <c r="C31" s="3" t="s">
        <v>28</v>
      </c>
      <c r="D31" s="3" t="s">
        <v>60</v>
      </c>
      <c r="E31" s="3" t="s">
        <v>59</v>
      </c>
      <c r="F31" s="4">
        <v>3136</v>
      </c>
      <c r="G31" s="8">
        <v>9.1999999999999993</v>
      </c>
      <c r="H31" s="4">
        <v>28851.200000000001</v>
      </c>
    </row>
    <row r="32" spans="1:8" ht="30" x14ac:dyDescent="0.25">
      <c r="A32" s="3" t="s">
        <v>13</v>
      </c>
      <c r="B32" s="3" t="s">
        <v>55</v>
      </c>
      <c r="C32" s="3" t="s">
        <v>28</v>
      </c>
      <c r="D32" s="3" t="s">
        <v>61</v>
      </c>
      <c r="E32" s="3" t="s">
        <v>59</v>
      </c>
      <c r="F32" s="4">
        <v>3136</v>
      </c>
      <c r="G32" s="8">
        <v>9.1999999999999993</v>
      </c>
      <c r="H32" s="4">
        <v>28845.21</v>
      </c>
    </row>
    <row r="33" spans="1:8" ht="30" x14ac:dyDescent="0.25">
      <c r="A33" s="3" t="s">
        <v>13</v>
      </c>
      <c r="B33" s="3" t="s">
        <v>55</v>
      </c>
      <c r="C33" s="3" t="s">
        <v>35</v>
      </c>
      <c r="D33" s="3" t="s">
        <v>36</v>
      </c>
      <c r="E33" s="3" t="s">
        <v>36</v>
      </c>
      <c r="F33" s="1"/>
      <c r="G33" s="1"/>
      <c r="H33" s="4">
        <v>0</v>
      </c>
    </row>
    <row r="34" spans="1:8" ht="30" x14ac:dyDescent="0.25">
      <c r="A34" s="3" t="s">
        <v>13</v>
      </c>
      <c r="B34" s="3" t="s">
        <v>55</v>
      </c>
      <c r="C34" s="3" t="s">
        <v>35</v>
      </c>
      <c r="D34" s="3" t="s">
        <v>37</v>
      </c>
      <c r="E34" s="3" t="s">
        <v>37</v>
      </c>
      <c r="F34" s="1"/>
      <c r="G34" s="1"/>
      <c r="H34" s="4">
        <v>7000</v>
      </c>
    </row>
    <row r="35" spans="1:8" ht="30" x14ac:dyDescent="0.25">
      <c r="A35" s="3" t="s">
        <v>13</v>
      </c>
      <c r="B35" s="3" t="s">
        <v>55</v>
      </c>
      <c r="C35" s="3" t="s">
        <v>35</v>
      </c>
      <c r="D35" s="3" t="s">
        <v>38</v>
      </c>
      <c r="E35" s="3" t="s">
        <v>38</v>
      </c>
      <c r="F35" s="1"/>
      <c r="G35" s="1"/>
      <c r="H35" s="4">
        <v>0</v>
      </c>
    </row>
    <row r="36" spans="1:8" ht="30" x14ac:dyDescent="0.25">
      <c r="A36" s="3" t="s">
        <v>13</v>
      </c>
      <c r="B36" s="3" t="s">
        <v>55</v>
      </c>
      <c r="C36" s="3" t="s">
        <v>35</v>
      </c>
      <c r="D36" s="3" t="s">
        <v>39</v>
      </c>
      <c r="E36" s="3" t="s">
        <v>39</v>
      </c>
      <c r="F36" s="1"/>
      <c r="G36" s="1"/>
      <c r="H36" s="4">
        <v>0</v>
      </c>
    </row>
    <row r="37" spans="1:8" ht="30" x14ac:dyDescent="0.25">
      <c r="A37" s="3" t="s">
        <v>13</v>
      </c>
      <c r="B37" s="3" t="s">
        <v>55</v>
      </c>
      <c r="C37" s="3" t="s">
        <v>35</v>
      </c>
      <c r="D37" s="3" t="s">
        <v>40</v>
      </c>
      <c r="E37" s="3" t="s">
        <v>40</v>
      </c>
      <c r="F37" s="1"/>
      <c r="G37" s="1"/>
      <c r="H37" s="4">
        <v>8897.19</v>
      </c>
    </row>
    <row r="38" spans="1:8" ht="30" x14ac:dyDescent="0.25">
      <c r="A38" s="3" t="s">
        <v>14</v>
      </c>
      <c r="B38" s="3" t="s">
        <v>62</v>
      </c>
      <c r="C38" s="3" t="s">
        <v>28</v>
      </c>
      <c r="D38" s="3" t="s">
        <v>63</v>
      </c>
      <c r="E38" s="3" t="s">
        <v>64</v>
      </c>
      <c r="F38" s="4">
        <v>6000</v>
      </c>
      <c r="G38" s="8">
        <v>2.8</v>
      </c>
      <c r="H38" s="4">
        <v>16800</v>
      </c>
    </row>
    <row r="39" spans="1:8" ht="30" x14ac:dyDescent="0.25">
      <c r="A39" s="3" t="s">
        <v>14</v>
      </c>
      <c r="B39" s="3" t="s">
        <v>62</v>
      </c>
      <c r="C39" s="3" t="s">
        <v>28</v>
      </c>
      <c r="D39" s="3" t="s">
        <v>65</v>
      </c>
      <c r="E39" s="3" t="s">
        <v>66</v>
      </c>
      <c r="F39" s="4">
        <v>6000</v>
      </c>
      <c r="G39" s="8">
        <v>8.35</v>
      </c>
      <c r="H39" s="4">
        <v>50100</v>
      </c>
    </row>
    <row r="40" spans="1:8" ht="30" x14ac:dyDescent="0.25">
      <c r="A40" s="3" t="s">
        <v>14</v>
      </c>
      <c r="B40" s="3" t="s">
        <v>62</v>
      </c>
      <c r="C40" s="3" t="s">
        <v>28</v>
      </c>
      <c r="D40" s="3" t="s">
        <v>67</v>
      </c>
      <c r="E40" s="3" t="s">
        <v>68</v>
      </c>
      <c r="F40" s="4">
        <v>6000</v>
      </c>
      <c r="G40" s="8">
        <v>6.94</v>
      </c>
      <c r="H40" s="4">
        <v>41640</v>
      </c>
    </row>
    <row r="41" spans="1:8" ht="30" x14ac:dyDescent="0.25">
      <c r="A41" s="3" t="s">
        <v>14</v>
      </c>
      <c r="B41" s="3" t="s">
        <v>62</v>
      </c>
      <c r="C41" s="3" t="s">
        <v>28</v>
      </c>
      <c r="D41" s="3" t="s">
        <v>69</v>
      </c>
      <c r="E41" s="3" t="s">
        <v>70</v>
      </c>
      <c r="F41" s="4">
        <v>6000</v>
      </c>
      <c r="G41" s="8">
        <v>6.94</v>
      </c>
      <c r="H41" s="4">
        <v>41684.300000000003</v>
      </c>
    </row>
    <row r="42" spans="1:8" ht="30" x14ac:dyDescent="0.25">
      <c r="A42" s="3" t="s">
        <v>14</v>
      </c>
      <c r="B42" s="3" t="s">
        <v>62</v>
      </c>
      <c r="C42" s="3" t="s">
        <v>35</v>
      </c>
      <c r="D42" s="3" t="s">
        <v>36</v>
      </c>
      <c r="E42" s="3" t="s">
        <v>36</v>
      </c>
      <c r="F42" s="1"/>
      <c r="G42" s="1"/>
      <c r="H42" s="4">
        <v>0</v>
      </c>
    </row>
    <row r="43" spans="1:8" ht="30" x14ac:dyDescent="0.25">
      <c r="A43" s="3" t="s">
        <v>14</v>
      </c>
      <c r="B43" s="3" t="s">
        <v>62</v>
      </c>
      <c r="C43" s="3" t="s">
        <v>35</v>
      </c>
      <c r="D43" s="3" t="s">
        <v>37</v>
      </c>
      <c r="E43" s="3" t="s">
        <v>37</v>
      </c>
      <c r="F43" s="1"/>
      <c r="G43" s="1"/>
      <c r="H43" s="4">
        <v>8000</v>
      </c>
    </row>
    <row r="44" spans="1:8" ht="30" x14ac:dyDescent="0.25">
      <c r="A44" s="3" t="s">
        <v>14</v>
      </c>
      <c r="B44" s="3" t="s">
        <v>62</v>
      </c>
      <c r="C44" s="3" t="s">
        <v>35</v>
      </c>
      <c r="D44" s="3" t="s">
        <v>38</v>
      </c>
      <c r="E44" s="3" t="s">
        <v>38</v>
      </c>
      <c r="F44" s="1"/>
      <c r="G44" s="1"/>
      <c r="H44" s="4">
        <v>0</v>
      </c>
    </row>
    <row r="45" spans="1:8" ht="30" x14ac:dyDescent="0.25">
      <c r="A45" s="3" t="s">
        <v>14</v>
      </c>
      <c r="B45" s="3" t="s">
        <v>62</v>
      </c>
      <c r="C45" s="3" t="s">
        <v>35</v>
      </c>
      <c r="D45" s="3" t="s">
        <v>39</v>
      </c>
      <c r="E45" s="3" t="s">
        <v>39</v>
      </c>
      <c r="F45" s="1"/>
      <c r="G45" s="1"/>
      <c r="H45" s="4">
        <v>10000</v>
      </c>
    </row>
    <row r="46" spans="1:8" ht="30" x14ac:dyDescent="0.25">
      <c r="A46" s="3" t="s">
        <v>14</v>
      </c>
      <c r="B46" s="3" t="s">
        <v>62</v>
      </c>
      <c r="C46" s="3" t="s">
        <v>35</v>
      </c>
      <c r="D46" s="3" t="s">
        <v>40</v>
      </c>
      <c r="E46" s="3" t="s">
        <v>40</v>
      </c>
      <c r="F46" s="1"/>
      <c r="G46" s="1"/>
      <c r="H46" s="4">
        <v>11775.7</v>
      </c>
    </row>
    <row r="47" spans="1:8" x14ac:dyDescent="0.25">
      <c r="A47" s="3" t="s">
        <v>15</v>
      </c>
      <c r="B47" s="3" t="s">
        <v>71</v>
      </c>
      <c r="C47" s="3" t="s">
        <v>28</v>
      </c>
      <c r="D47" s="3" t="s">
        <v>72</v>
      </c>
      <c r="E47" s="3" t="s">
        <v>73</v>
      </c>
      <c r="F47" s="4">
        <v>6691</v>
      </c>
      <c r="G47" s="8">
        <v>2.8</v>
      </c>
      <c r="H47" s="4">
        <v>18734.8</v>
      </c>
    </row>
    <row r="48" spans="1:8" x14ac:dyDescent="0.25">
      <c r="A48" s="3" t="s">
        <v>15</v>
      </c>
      <c r="B48" s="3" t="s">
        <v>71</v>
      </c>
      <c r="C48" s="3" t="s">
        <v>28</v>
      </c>
      <c r="D48" s="3" t="s">
        <v>74</v>
      </c>
      <c r="E48" s="3" t="s">
        <v>75</v>
      </c>
      <c r="F48" s="4">
        <v>6691</v>
      </c>
      <c r="G48" s="8">
        <v>4.3</v>
      </c>
      <c r="H48" s="4">
        <v>28771.3</v>
      </c>
    </row>
    <row r="49" spans="1:8" x14ac:dyDescent="0.25">
      <c r="A49" s="3" t="s">
        <v>15</v>
      </c>
      <c r="B49" s="3" t="s">
        <v>71</v>
      </c>
      <c r="C49" s="3" t="s">
        <v>28</v>
      </c>
      <c r="D49" s="3" t="s">
        <v>76</v>
      </c>
      <c r="E49" s="3" t="s">
        <v>77</v>
      </c>
      <c r="F49" s="4">
        <v>6691</v>
      </c>
      <c r="G49" s="8">
        <v>5.7</v>
      </c>
      <c r="H49" s="4">
        <v>38138.699999999997</v>
      </c>
    </row>
    <row r="50" spans="1:8" x14ac:dyDescent="0.25">
      <c r="A50" s="3" t="s">
        <v>15</v>
      </c>
      <c r="B50" s="3" t="s">
        <v>71</v>
      </c>
      <c r="C50" s="3" t="s">
        <v>28</v>
      </c>
      <c r="D50" s="3" t="s">
        <v>78</v>
      </c>
      <c r="E50" s="3" t="s">
        <v>79</v>
      </c>
      <c r="F50" s="4">
        <v>6691</v>
      </c>
      <c r="G50" s="8">
        <v>8.5</v>
      </c>
      <c r="H50" s="4">
        <v>56887.91</v>
      </c>
    </row>
    <row r="51" spans="1:8" x14ac:dyDescent="0.25">
      <c r="A51" s="3" t="s">
        <v>15</v>
      </c>
      <c r="B51" s="3" t="s">
        <v>71</v>
      </c>
      <c r="C51" s="3" t="s">
        <v>35</v>
      </c>
      <c r="D51" s="3" t="s">
        <v>36</v>
      </c>
      <c r="E51" s="3" t="s">
        <v>36</v>
      </c>
      <c r="F51" s="1"/>
      <c r="G51" s="1"/>
      <c r="H51" s="4">
        <v>0</v>
      </c>
    </row>
    <row r="52" spans="1:8" x14ac:dyDescent="0.25">
      <c r="A52" s="3" t="s">
        <v>15</v>
      </c>
      <c r="B52" s="3" t="s">
        <v>71</v>
      </c>
      <c r="C52" s="3" t="s">
        <v>35</v>
      </c>
      <c r="D52" s="3" t="s">
        <v>37</v>
      </c>
      <c r="E52" s="3" t="s">
        <v>37</v>
      </c>
      <c r="F52" s="1"/>
      <c r="G52" s="1"/>
      <c r="H52" s="4">
        <v>7000</v>
      </c>
    </row>
    <row r="53" spans="1:8" x14ac:dyDescent="0.25">
      <c r="A53" s="3" t="s">
        <v>15</v>
      </c>
      <c r="B53" s="3" t="s">
        <v>71</v>
      </c>
      <c r="C53" s="3" t="s">
        <v>35</v>
      </c>
      <c r="D53" s="3" t="s">
        <v>38</v>
      </c>
      <c r="E53" s="3" t="s">
        <v>38</v>
      </c>
      <c r="F53" s="1"/>
      <c r="G53" s="1"/>
      <c r="H53" s="4">
        <v>0</v>
      </c>
    </row>
    <row r="54" spans="1:8" x14ac:dyDescent="0.25">
      <c r="A54" s="3" t="s">
        <v>15</v>
      </c>
      <c r="B54" s="3" t="s">
        <v>71</v>
      </c>
      <c r="C54" s="3" t="s">
        <v>35</v>
      </c>
      <c r="D54" s="3" t="s">
        <v>39</v>
      </c>
      <c r="E54" s="3" t="s">
        <v>39</v>
      </c>
      <c r="F54" s="1"/>
      <c r="G54" s="1"/>
      <c r="H54" s="4">
        <v>0</v>
      </c>
    </row>
    <row r="55" spans="1:8" x14ac:dyDescent="0.25">
      <c r="A55" s="3" t="s">
        <v>15</v>
      </c>
      <c r="B55" s="3" t="s">
        <v>71</v>
      </c>
      <c r="C55" s="3" t="s">
        <v>35</v>
      </c>
      <c r="D55" s="3" t="s">
        <v>40</v>
      </c>
      <c r="E55" s="3" t="s">
        <v>40</v>
      </c>
      <c r="F55" s="1"/>
      <c r="G55" s="1"/>
      <c r="H55" s="4">
        <v>10467.290000000001</v>
      </c>
    </row>
    <row r="56" spans="1:8" ht="30" x14ac:dyDescent="0.25">
      <c r="A56" s="3" t="s">
        <v>16</v>
      </c>
      <c r="B56" s="3" t="s">
        <v>80</v>
      </c>
      <c r="C56" s="3" t="s">
        <v>28</v>
      </c>
      <c r="D56" s="3" t="s">
        <v>81</v>
      </c>
      <c r="E56" s="3" t="s">
        <v>82</v>
      </c>
      <c r="F56" s="4">
        <v>6280</v>
      </c>
      <c r="G56" s="8">
        <v>4.26</v>
      </c>
      <c r="H56" s="4">
        <v>26752.799999999999</v>
      </c>
    </row>
    <row r="57" spans="1:8" ht="30" x14ac:dyDescent="0.25">
      <c r="A57" s="3" t="s">
        <v>16</v>
      </c>
      <c r="B57" s="3" t="s">
        <v>80</v>
      </c>
      <c r="C57" s="3" t="s">
        <v>28</v>
      </c>
      <c r="D57" s="3" t="s">
        <v>83</v>
      </c>
      <c r="E57" s="3" t="s">
        <v>32</v>
      </c>
      <c r="F57" s="4">
        <v>6280</v>
      </c>
      <c r="G57" s="8">
        <v>4.9800000000000004</v>
      </c>
      <c r="H57" s="4">
        <v>31274.400000000001</v>
      </c>
    </row>
    <row r="58" spans="1:8" ht="30" x14ac:dyDescent="0.25">
      <c r="A58" s="3" t="s">
        <v>16</v>
      </c>
      <c r="B58" s="3" t="s">
        <v>80</v>
      </c>
      <c r="C58" s="3" t="s">
        <v>28</v>
      </c>
      <c r="D58" s="3" t="s">
        <v>84</v>
      </c>
      <c r="E58" s="3" t="s">
        <v>85</v>
      </c>
      <c r="F58" s="4">
        <v>4676</v>
      </c>
      <c r="G58" s="8">
        <v>12.8</v>
      </c>
      <c r="H58" s="4">
        <v>59852.800000000003</v>
      </c>
    </row>
    <row r="59" spans="1:8" ht="30" x14ac:dyDescent="0.25">
      <c r="A59" s="3" t="s">
        <v>16</v>
      </c>
      <c r="B59" s="3" t="s">
        <v>80</v>
      </c>
      <c r="C59" s="3" t="s">
        <v>28</v>
      </c>
      <c r="D59" s="3" t="s">
        <v>86</v>
      </c>
      <c r="E59" s="3" t="s">
        <v>87</v>
      </c>
      <c r="F59" s="4">
        <v>4676</v>
      </c>
      <c r="G59" s="8">
        <v>10.65</v>
      </c>
      <c r="H59" s="4">
        <v>49820.93</v>
      </c>
    </row>
    <row r="60" spans="1:8" ht="30" x14ac:dyDescent="0.25">
      <c r="A60" s="3" t="s">
        <v>16</v>
      </c>
      <c r="B60" s="3" t="s">
        <v>80</v>
      </c>
      <c r="C60" s="3" t="s">
        <v>35</v>
      </c>
      <c r="D60" s="3" t="s">
        <v>36</v>
      </c>
      <c r="E60" s="3" t="s">
        <v>36</v>
      </c>
      <c r="F60" s="1"/>
      <c r="G60" s="1"/>
      <c r="H60" s="4">
        <v>0</v>
      </c>
    </row>
    <row r="61" spans="1:8" ht="30" x14ac:dyDescent="0.25">
      <c r="A61" s="3" t="s">
        <v>16</v>
      </c>
      <c r="B61" s="3" t="s">
        <v>80</v>
      </c>
      <c r="C61" s="3" t="s">
        <v>35</v>
      </c>
      <c r="D61" s="3" t="s">
        <v>37</v>
      </c>
      <c r="E61" s="3" t="s">
        <v>37</v>
      </c>
      <c r="F61" s="1"/>
      <c r="G61" s="1"/>
      <c r="H61" s="4">
        <v>6000</v>
      </c>
    </row>
    <row r="62" spans="1:8" ht="30" x14ac:dyDescent="0.25">
      <c r="A62" s="3" t="s">
        <v>16</v>
      </c>
      <c r="B62" s="3" t="s">
        <v>80</v>
      </c>
      <c r="C62" s="3" t="s">
        <v>35</v>
      </c>
      <c r="D62" s="3" t="s">
        <v>38</v>
      </c>
      <c r="E62" s="3" t="s">
        <v>38</v>
      </c>
      <c r="F62" s="1"/>
      <c r="G62" s="1"/>
      <c r="H62" s="4">
        <v>0</v>
      </c>
    </row>
    <row r="63" spans="1:8" ht="30" x14ac:dyDescent="0.25">
      <c r="A63" s="3" t="s">
        <v>16</v>
      </c>
      <c r="B63" s="3" t="s">
        <v>80</v>
      </c>
      <c r="C63" s="3" t="s">
        <v>35</v>
      </c>
      <c r="D63" s="3" t="s">
        <v>39</v>
      </c>
      <c r="E63" s="3" t="s">
        <v>39</v>
      </c>
      <c r="F63" s="1"/>
      <c r="G63" s="1"/>
      <c r="H63" s="4">
        <v>2000</v>
      </c>
    </row>
    <row r="64" spans="1:8" ht="30" x14ac:dyDescent="0.25">
      <c r="A64" s="3" t="s">
        <v>16</v>
      </c>
      <c r="B64" s="3" t="s">
        <v>80</v>
      </c>
      <c r="C64" s="3" t="s">
        <v>35</v>
      </c>
      <c r="D64" s="3" t="s">
        <v>40</v>
      </c>
      <c r="E64" s="3" t="s">
        <v>40</v>
      </c>
      <c r="F64" s="1"/>
      <c r="G64" s="1"/>
      <c r="H64" s="4">
        <v>12299.07</v>
      </c>
    </row>
  </sheetData>
  <autoFilter ref="A4:H64" xr:uid="{00000000-0009-0000-0000-000001000000}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46" customWidth="1"/>
    <col min="2" max="2" width="18" customWidth="1"/>
    <col min="3" max="3" width="24" customWidth="1"/>
    <col min="4" max="6" width="14" customWidth="1"/>
    <col min="7" max="7" width="12" customWidth="1"/>
  </cols>
  <sheetData>
    <row r="1" spans="1:7" x14ac:dyDescent="0.25">
      <c r="A1" s="14" t="s">
        <v>88</v>
      </c>
      <c r="B1" s="13"/>
      <c r="C1" s="13"/>
      <c r="D1" s="13"/>
      <c r="E1" s="13"/>
      <c r="F1" s="13"/>
      <c r="G1" s="13"/>
    </row>
    <row r="2" spans="1:7" x14ac:dyDescent="0.25">
      <c r="A2" s="12" t="s">
        <v>89</v>
      </c>
      <c r="B2" s="13"/>
      <c r="C2" s="13"/>
      <c r="D2" s="13"/>
      <c r="E2" s="13"/>
      <c r="F2" s="13"/>
      <c r="G2" s="13"/>
    </row>
    <row r="4" spans="1:7" ht="30" x14ac:dyDescent="0.25">
      <c r="A4" s="2" t="s">
        <v>2</v>
      </c>
      <c r="B4" s="2" t="s">
        <v>90</v>
      </c>
      <c r="C4" s="2" t="s">
        <v>91</v>
      </c>
      <c r="D4" s="2" t="s">
        <v>92</v>
      </c>
      <c r="E4" s="2" t="s">
        <v>93</v>
      </c>
      <c r="F4" s="2" t="s">
        <v>94</v>
      </c>
      <c r="G4" s="2" t="s">
        <v>95</v>
      </c>
    </row>
    <row r="5" spans="1:7" x14ac:dyDescent="0.25">
      <c r="A5" s="3" t="s">
        <v>10</v>
      </c>
      <c r="B5" s="4">
        <v>235000</v>
      </c>
      <c r="C5" s="5">
        <f>SUMIF(Partner_Detail!$A:$A,A5,Partner_Detail!$H:$H)</f>
        <v>234999.99999999997</v>
      </c>
      <c r="D5" s="5">
        <f t="shared" ref="D5:D11" si="0">B5-C5</f>
        <v>0</v>
      </c>
      <c r="E5" s="9" t="s">
        <v>2</v>
      </c>
      <c r="F5" s="4">
        <v>0.01</v>
      </c>
      <c r="G5" s="9" t="str">
        <f t="shared" ref="G5:G11" si="1">IF(ABS(D5)&lt;0.01,"OK","CHECK")</f>
        <v>OK</v>
      </c>
    </row>
    <row r="6" spans="1:7" x14ac:dyDescent="0.25">
      <c r="A6" s="3" t="s">
        <v>11</v>
      </c>
      <c r="B6" s="4">
        <v>196000</v>
      </c>
      <c r="C6" s="5">
        <f>SUMIF(Partner_Detail!$A:$A,A6,Partner_Detail!$H:$H)</f>
        <v>196000</v>
      </c>
      <c r="D6" s="5">
        <f t="shared" si="0"/>
        <v>0</v>
      </c>
      <c r="E6" s="9" t="s">
        <v>2</v>
      </c>
      <c r="F6" s="4">
        <v>0.01</v>
      </c>
      <c r="G6" s="9" t="str">
        <f t="shared" si="1"/>
        <v>OK</v>
      </c>
    </row>
    <row r="7" spans="1:7" x14ac:dyDescent="0.25">
      <c r="A7" s="3" t="s">
        <v>12</v>
      </c>
      <c r="B7" s="4">
        <v>155000</v>
      </c>
      <c r="C7" s="5">
        <f>SUMIF(Partner_Detail!$A:$A,A7,Partner_Detail!$H:$H)</f>
        <v>155000</v>
      </c>
      <c r="D7" s="5">
        <f t="shared" si="0"/>
        <v>0</v>
      </c>
      <c r="E7" s="9" t="s">
        <v>2</v>
      </c>
      <c r="F7" s="4">
        <v>0.01</v>
      </c>
      <c r="G7" s="9" t="str">
        <f t="shared" si="1"/>
        <v>OK</v>
      </c>
    </row>
    <row r="8" spans="1:7" ht="30" x14ac:dyDescent="0.25">
      <c r="A8" s="3" t="s">
        <v>13</v>
      </c>
      <c r="B8" s="4">
        <v>136000</v>
      </c>
      <c r="C8" s="5">
        <f>SUMIF(Partner_Detail!$A:$A,A8,Partner_Detail!$H:$H)</f>
        <v>136000</v>
      </c>
      <c r="D8" s="5">
        <f t="shared" si="0"/>
        <v>0</v>
      </c>
      <c r="E8" s="9" t="s">
        <v>2</v>
      </c>
      <c r="F8" s="4">
        <v>0.01</v>
      </c>
      <c r="G8" s="9" t="str">
        <f t="shared" si="1"/>
        <v>OK</v>
      </c>
    </row>
    <row r="9" spans="1:7" ht="30" x14ac:dyDescent="0.25">
      <c r="A9" s="3" t="s">
        <v>14</v>
      </c>
      <c r="B9" s="4">
        <v>180000</v>
      </c>
      <c r="C9" s="5">
        <f>SUMIF(Partner_Detail!$A:$A,A9,Partner_Detail!$H:$H)</f>
        <v>180000</v>
      </c>
      <c r="D9" s="5">
        <f t="shared" si="0"/>
        <v>0</v>
      </c>
      <c r="E9" s="9" t="s">
        <v>2</v>
      </c>
      <c r="F9" s="4">
        <v>0.01</v>
      </c>
      <c r="G9" s="9" t="str">
        <f t="shared" si="1"/>
        <v>OK</v>
      </c>
    </row>
    <row r="10" spans="1:7" x14ac:dyDescent="0.25">
      <c r="A10" s="3" t="s">
        <v>15</v>
      </c>
      <c r="B10" s="4">
        <v>160000</v>
      </c>
      <c r="C10" s="5">
        <f>SUMIF(Partner_Detail!$A:$A,A10,Partner_Detail!$H:$H)</f>
        <v>160000</v>
      </c>
      <c r="D10" s="5">
        <f t="shared" si="0"/>
        <v>0</v>
      </c>
      <c r="E10" s="9" t="s">
        <v>2</v>
      </c>
      <c r="F10" s="4">
        <v>0.01</v>
      </c>
      <c r="G10" s="9" t="str">
        <f t="shared" si="1"/>
        <v>OK</v>
      </c>
    </row>
    <row r="11" spans="1:7" ht="30" x14ac:dyDescent="0.25">
      <c r="A11" s="3" t="s">
        <v>16</v>
      </c>
      <c r="B11" s="4">
        <v>188000</v>
      </c>
      <c r="C11" s="5">
        <f>SUMIF(Partner_Detail!$A:$A,A11,Partner_Detail!$H:$H)</f>
        <v>188000</v>
      </c>
      <c r="D11" s="5">
        <f t="shared" si="0"/>
        <v>0</v>
      </c>
      <c r="E11" s="9" t="s">
        <v>2</v>
      </c>
      <c r="F11" s="4">
        <v>0.01</v>
      </c>
      <c r="G11" s="9" t="str">
        <f t="shared" si="1"/>
        <v>OK</v>
      </c>
    </row>
    <row r="13" spans="1:7" x14ac:dyDescent="0.25">
      <c r="A13" s="6" t="s">
        <v>17</v>
      </c>
      <c r="B13" s="10">
        <v>1250000</v>
      </c>
      <c r="C13" s="10">
        <f>SUM(C5:C11)</f>
        <v>1250000</v>
      </c>
      <c r="D13" s="10">
        <f>B13-C13</f>
        <v>0</v>
      </c>
      <c r="E13" s="11" t="s">
        <v>96</v>
      </c>
      <c r="F13" s="10">
        <v>0.01</v>
      </c>
      <c r="G13" s="11" t="str">
        <f>IF(ABS(D13)&lt;0.01,"OK","CHECK")</f>
        <v>OK</v>
      </c>
    </row>
  </sheetData>
  <autoFilter ref="A4:G11" xr:uid="{00000000-0009-0000-0000-000002000000}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Partner_Detail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Opening: The Granular Financial Breakdown</dc:title>
  <dc:creator>OpenAI Codex</dc:creator>
  <cp:lastModifiedBy>Smita Singh</cp:lastModifiedBy>
  <dcterms:created xsi:type="dcterms:W3CDTF">2026-03-11T23:53:39Z</dcterms:created>
  <dcterms:modified xsi:type="dcterms:W3CDTF">2026-03-11T23:54:46Z</dcterms:modified>
</cp:coreProperties>
</file>